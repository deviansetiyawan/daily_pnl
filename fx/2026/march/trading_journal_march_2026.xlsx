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etiyawan\Documents\Self Projects\trading_journal\daily_pnl\fx\2026\march\"/>
    </mc:Choice>
  </mc:AlternateContent>
  <xr:revisionPtr revIDLastSave="0" documentId="13_ncr:1_{9BB7AEB2-5E72-4C71-A0A4-943BF2AA64AD}" xr6:coauthVersionLast="47" xr6:coauthVersionMax="47" xr10:uidLastSave="{00000000-0000-0000-0000-000000000000}"/>
  <bookViews>
    <workbookView xWindow="-120" yWindow="16080" windowWidth="29040" windowHeight="15720" xr2:uid="{9451B767-0217-457C-A658-57F96A9B9C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0" i="1" l="1"/>
  <c r="R57" i="1"/>
  <c r="R58" i="1"/>
  <c r="R59" i="1"/>
  <c r="C20" i="1"/>
  <c r="S9" i="1" a="1"/>
  <c r="S9" i="1" s="1"/>
  <c r="R9" i="1" a="1"/>
  <c r="R9" i="1" s="1"/>
  <c r="R56" i="1"/>
  <c r="R55" i="1"/>
  <c r="R54" i="1"/>
  <c r="R53" i="1"/>
  <c r="O56" i="1"/>
  <c r="N56" i="1"/>
  <c r="M56" i="1"/>
  <c r="O55" i="1"/>
  <c r="N55" i="1" s="1"/>
  <c r="M55" i="1"/>
  <c r="O54" i="1"/>
  <c r="N54" i="1" s="1"/>
  <c r="M54" i="1"/>
  <c r="O53" i="1"/>
  <c r="N53" i="1" s="1"/>
  <c r="M53" i="1"/>
  <c r="L18" i="1"/>
  <c r="O52" i="1"/>
  <c r="N52" i="1" s="1"/>
  <c r="M52" i="1"/>
  <c r="O51" i="1"/>
  <c r="N51" i="1" s="1"/>
  <c r="M51" i="1"/>
  <c r="O50" i="1"/>
  <c r="N50" i="1" s="1"/>
  <c r="M50" i="1"/>
  <c r="O49" i="1"/>
  <c r="N49" i="1" s="1"/>
  <c r="M49" i="1"/>
  <c r="O48" i="1"/>
  <c r="N48" i="1" s="1"/>
  <c r="M48" i="1"/>
  <c r="O47" i="1"/>
  <c r="N47" i="1" s="1"/>
  <c r="M47" i="1"/>
  <c r="O46" i="1"/>
  <c r="N46" i="1" s="1"/>
  <c r="M46" i="1"/>
  <c r="K18" i="1"/>
  <c r="O45" i="1"/>
  <c r="N45" i="1" s="1"/>
  <c r="M45" i="1"/>
  <c r="O44" i="1"/>
  <c r="N44" i="1"/>
  <c r="M44" i="1"/>
  <c r="O43" i="1"/>
  <c r="N43" i="1" s="1"/>
  <c r="M43" i="1"/>
  <c r="O42" i="1"/>
  <c r="N42" i="1" s="1"/>
  <c r="M42" i="1"/>
  <c r="O41" i="1"/>
  <c r="N41" i="1" s="1"/>
  <c r="M41" i="1"/>
  <c r="O40" i="1"/>
  <c r="N40" i="1" s="1"/>
  <c r="M40" i="1"/>
  <c r="O39" i="1"/>
  <c r="N39" i="1" s="1"/>
  <c r="M39" i="1"/>
  <c r="M38" i="1"/>
  <c r="K11" i="2"/>
  <c r="M37" i="1"/>
  <c r="M36" i="1"/>
  <c r="M35" i="1"/>
  <c r="M34" i="1"/>
  <c r="M33" i="1"/>
  <c r="M32" i="1"/>
  <c r="M31" i="1"/>
  <c r="M30" i="1"/>
  <c r="M29" i="1"/>
  <c r="M28" i="1" l="1"/>
  <c r="M27" i="1"/>
  <c r="I11" i="1"/>
  <c r="I5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O27" i="1"/>
  <c r="O28" i="1" s="1"/>
  <c r="S6" i="1"/>
  <c r="S5" i="1"/>
  <c r="D9" i="1"/>
  <c r="N28" i="1" l="1"/>
  <c r="O29" i="1"/>
  <c r="E18" i="1"/>
  <c r="B13" i="1"/>
  <c r="D13" i="1" s="1"/>
  <c r="N27" i="1"/>
  <c r="O30" i="1" l="1"/>
  <c r="N29" i="1"/>
  <c r="N30" i="1" l="1"/>
  <c r="O31" i="1"/>
  <c r="F18" i="1"/>
  <c r="N31" i="1" l="1"/>
  <c r="O32" i="1"/>
  <c r="N32" i="1" l="1"/>
  <c r="O33" i="1"/>
  <c r="G18" i="1"/>
  <c r="N33" i="1" l="1"/>
  <c r="O34" i="1"/>
  <c r="N34" i="1" l="1"/>
  <c r="O35" i="1"/>
  <c r="N35" i="1" l="1"/>
  <c r="H18" i="1"/>
  <c r="O36" i="1"/>
  <c r="N36" i="1" l="1"/>
  <c r="O37" i="1"/>
  <c r="N37" i="1" l="1"/>
  <c r="O38" i="1"/>
  <c r="N3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<sst xmlns="http://schemas.openxmlformats.org/spreadsheetml/2006/main" count="183" uniqueCount="75">
  <si>
    <t>L</t>
  </si>
  <si>
    <t>OFF</t>
  </si>
  <si>
    <t>No</t>
  </si>
  <si>
    <t>Tanggal</t>
  </si>
  <si>
    <t>Pair</t>
  </si>
  <si>
    <t>Posisi</t>
  </si>
  <si>
    <t>Harga Masuk</t>
  </si>
  <si>
    <t>LOT</t>
  </si>
  <si>
    <t>R:R</t>
  </si>
  <si>
    <t>W/L</t>
  </si>
  <si>
    <t>Profit</t>
  </si>
  <si>
    <t>Equity</t>
  </si>
  <si>
    <t>Catatan</t>
  </si>
  <si>
    <t>Account Change</t>
  </si>
  <si>
    <t>Cumulative Acc. Change</t>
  </si>
  <si>
    <t>Risk per Trade (%)</t>
  </si>
  <si>
    <t>Total PnL</t>
  </si>
  <si>
    <t>Balance</t>
  </si>
  <si>
    <t>MODAL AWAL</t>
  </si>
  <si>
    <t>3 Maret 2026</t>
  </si>
  <si>
    <t>USTEC</t>
  </si>
  <si>
    <t>SL</t>
  </si>
  <si>
    <t>TP</t>
  </si>
  <si>
    <t>W</t>
  </si>
  <si>
    <t>JP225</t>
  </si>
  <si>
    <t>SL +</t>
  </si>
  <si>
    <t>TP 1</t>
  </si>
  <si>
    <t>Status</t>
  </si>
  <si>
    <t>Win Rate</t>
  </si>
  <si>
    <t>TOTAL LOSS</t>
  </si>
  <si>
    <t>TOTAL PROFIT</t>
  </si>
  <si>
    <t>4 Maret 2026</t>
  </si>
  <si>
    <t>Harga berada di demand zone</t>
  </si>
  <si>
    <t>TRADING JOURNAL - MARET 2026</t>
  </si>
  <si>
    <t>EURUSD</t>
  </si>
  <si>
    <t>LONG</t>
  </si>
  <si>
    <t>SHORT</t>
  </si>
  <si>
    <t>Index DXY berada di area resistance sebelumnya, berharap jadi RBS</t>
  </si>
  <si>
    <t>5 Maret 2026</t>
  </si>
  <si>
    <t>DE30</t>
  </si>
  <si>
    <t>Harga berada di level support sebelumnya yg sudah terbembus, berharap jadi SbR</t>
  </si>
  <si>
    <t>Pairs Performance</t>
  </si>
  <si>
    <t>XAUUSD</t>
  </si>
  <si>
    <t>Harga berada di area minor demand tf 15 menit</t>
  </si>
  <si>
    <t>6 Maret 2026</t>
  </si>
  <si>
    <t>GBPUSD</t>
  </si>
  <si>
    <t>Harga berada di area minor pelemahan</t>
  </si>
  <si>
    <t>USDJPY</t>
  </si>
  <si>
    <t>NZDUSD</t>
  </si>
  <si>
    <t>Mengikuti narasi news</t>
  </si>
  <si>
    <t>9 Maret 2026</t>
  </si>
  <si>
    <t>Berada di area demand H4, tapi manual closed karena mau mengerjakan hal lain</t>
  </si>
  <si>
    <t>Scalping menggunakan ichimoku, namun belum valid</t>
  </si>
  <si>
    <t>Scalping menggunakan ichimoku di M1, manual TP karena udah mendekati awan di M5, potensi penurunan</t>
  </si>
  <si>
    <t>PnL Calendar | SELALU JAGA RISK PER TRADE BOSS!</t>
  </si>
  <si>
    <t>NZDJPY</t>
  </si>
  <si>
    <t>EURJPY</t>
  </si>
  <si>
    <t>Scalping ichimoku</t>
  </si>
  <si>
    <t>Index JPYX berada di area supply, namun belum valid</t>
  </si>
  <si>
    <t>XAUUSD berada di area demand zone</t>
  </si>
  <si>
    <t>Index JPYX berada di area supply, namun belum terlalu valid</t>
  </si>
  <si>
    <t>10 Maret 2026</t>
  </si>
  <si>
    <t>Berada di area supply, namun tidak sesuai dengan data dari news</t>
  </si>
  <si>
    <t>US30</t>
  </si>
  <si>
    <t>Berada di area supply, namun buying masih kuat</t>
  </si>
  <si>
    <t>Entry gegabah</t>
  </si>
  <si>
    <t>Harga baru tembus resis, kemudian retrace, memanfaatkan tf 5 menit</t>
  </si>
  <si>
    <t>Harga berada di area demand zone, di minor tf 5 menit</t>
  </si>
  <si>
    <t>Harga berada di area support become resistance di tf 1 jam</t>
  </si>
  <si>
    <t>Harga berada di area support become resistance &amp; trendline di tf 1 jam</t>
  </si>
  <si>
    <t>11 Maret 2026</t>
  </si>
  <si>
    <t>CHFJPY</t>
  </si>
  <si>
    <t>Harga berada di area resistance, namun belum valid</t>
  </si>
  <si>
    <t>Scalping menggunakan ichimoku</t>
  </si>
  <si>
    <t>Harga berada di area resistance, namun pergerakan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</si>
</sst>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[$IDR]\ * #,##0.00_);_([$IDR]\ * \(#,##0.00\);_([$IDR]\ 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2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0" fillId="0" borderId="0" xfId="2" applyFont="1" applyAlignment="1">
      <alignment horizontal="right" vertical="center"/>
    </xf>
    <xf numFmtId="43" fontId="0" fillId="0" borderId="0" xfId="2" applyFont="1" applyAlignment="1">
      <alignment horizontal="center" vertical="center"/>
    </xf>
    <xf numFmtId="43" fontId="0" fillId="0" borderId="0" xfId="2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3" fontId="0" fillId="3" borderId="1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43" fontId="0" fillId="3" borderId="1" xfId="0" applyNumberFormat="1" applyFont="1" applyFill="1" applyBorder="1" applyAlignment="1">
      <alignment horizontal="center" vertical="center"/>
    </xf>
    <xf numFmtId="0" fontId="8" fillId="0" borderId="0" xfId="0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0"/>
        <c:ser>
          <c:idx val="0"/>
          <c:order val="0"/>
          <c:tx>
            <c:strRef>
              <c:f>Sheet1!$S$4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B2-4D21-B8B3-FE1F4D714DA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1AB2-4D21-B8B3-FE1F4D714D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Sheet1!$R$5:$R$6</c:f>
              <c:strCache>
                <c:ptCount val="2"/>
                <c:pt idx="0">
                  <c:v>W</c:v>
                </c:pt>
                <c:pt idx="1">
                  <c:v>L</c:v>
                </c:pt>
              </c:strCache>
            </c:strRef>
          </c:cat>
          <c:val>
            <c:numRef>
              <c:f>Sheet1!$S$5:$S$6</c:f>
              <c:numCache>
                <c:formatCode>General</c:formatCode>
                <c:ptCount val="2"/>
                <c:pt idx="0">
                  <c:v>19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C-454A-AF75-073094FB1A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 GROWTH PER TRADE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Sheet1!$N$26</c:f>
              <c:strCache>
                <c:ptCount val="1"/>
                <c:pt idx="0">
                  <c:v>Cumulative Acc. Change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Sheet1!$N$27:$N$60</c:f>
              <c:numCache>
                <c:formatCode>0.00%</c:formatCode>
                <c:ptCount val="34"/>
                <c:pt idx="0">
                  <c:v>0.15756422971960665</c:v>
                </c:pt>
                <c:pt idx="1">
                  <c:v>0.16792695783281039</c:v>
                </c:pt>
                <c:pt idx="2">
                  <c:v>0.28158233124339893</c:v>
                </c:pt>
                <c:pt idx="3">
                  <c:v>0.33764975178379947</c:v>
                </c:pt>
                <c:pt idx="4">
                  <c:v>0.42739835174279983</c:v>
                </c:pt>
                <c:pt idx="5">
                  <c:v>0.54843592914371164</c:v>
                </c:pt>
                <c:pt idx="6">
                  <c:v>0.51564961272038856</c:v>
                </c:pt>
                <c:pt idx="7">
                  <c:v>0.51409183954944071</c:v>
                </c:pt>
                <c:pt idx="8">
                  <c:v>0.55246328635070574</c:v>
                </c:pt>
                <c:pt idx="9">
                  <c:v>0.28496798003086532</c:v>
                </c:pt>
                <c:pt idx="10">
                  <c:v>0.76065734841266408</c:v>
                </c:pt>
                <c:pt idx="11">
                  <c:v>0.76722351198766414</c:v>
                </c:pt>
                <c:pt idx="12">
                  <c:v>0.79244438826736363</c:v>
                </c:pt>
                <c:pt idx="13">
                  <c:v>0.67431783228759246</c:v>
                </c:pt>
                <c:pt idx="14">
                  <c:v>0.57426911368770273</c:v>
                </c:pt>
                <c:pt idx="15">
                  <c:v>0.5161127352577991</c:v>
                </c:pt>
                <c:pt idx="16">
                  <c:v>0.4966258270376781</c:v>
                </c:pt>
                <c:pt idx="17">
                  <c:v>0.70144623820518148</c:v>
                </c:pt>
                <c:pt idx="18">
                  <c:v>0.70268606237736442</c:v>
                </c:pt>
                <c:pt idx="19">
                  <c:v>0.69526587311577448</c:v>
                </c:pt>
                <c:pt idx="20">
                  <c:v>0.64854782762339935</c:v>
                </c:pt>
                <c:pt idx="21">
                  <c:v>0.64854782762339935</c:v>
                </c:pt>
                <c:pt idx="22">
                  <c:v>0.84994355092851281</c:v>
                </c:pt>
                <c:pt idx="23">
                  <c:v>0.87954804739463555</c:v>
                </c:pt>
                <c:pt idx="24">
                  <c:v>0.88621779310156523</c:v>
                </c:pt>
                <c:pt idx="25">
                  <c:v>0.88376748690489426</c:v>
                </c:pt>
                <c:pt idx="26">
                  <c:v>0.81998042284171424</c:v>
                </c:pt>
                <c:pt idx="27">
                  <c:v>0.84082520057944099</c:v>
                </c:pt>
                <c:pt idx="28">
                  <c:v>0.8903491965008149</c:v>
                </c:pt>
                <c:pt idx="29">
                  <c:v>0.90821408819860938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4-410A-9116-A22C09120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386544"/>
        <c:axId val="1413387024"/>
      </c:lineChart>
      <c:catAx>
        <c:axId val="1413386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87024"/>
        <c:crosses val="autoZero"/>
        <c:auto val="1"/>
        <c:lblAlgn val="ctr"/>
        <c:lblOffset val="100"/>
        <c:noMultiLvlLbl val="0"/>
      </c:catAx>
      <c:valAx>
        <c:axId val="141338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8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Sheet1!$S$8</c:f>
              <c:strCache>
                <c:ptCount val="1"/>
                <c:pt idx="0">
                  <c:v>Pairs Performance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Sheet1!$R$9:$R$20</c:f>
              <c:strCache>
                <c:ptCount val="12"/>
                <c:pt idx="0">
                  <c:v>USTEC</c:v>
                </c:pt>
                <c:pt idx="1">
                  <c:v>JP225</c:v>
                </c:pt>
                <c:pt idx="2">
                  <c:v>EURUSD</c:v>
                </c:pt>
                <c:pt idx="3">
                  <c:v>DE30</c:v>
                </c:pt>
                <c:pt idx="4">
                  <c:v>XAUUSD</c:v>
                </c:pt>
                <c:pt idx="5">
                  <c:v>GBPUSD</c:v>
                </c:pt>
                <c:pt idx="6">
                  <c:v>USDJPY</c:v>
                </c:pt>
                <c:pt idx="7">
                  <c:v>NZDUSD</c:v>
                </c:pt>
                <c:pt idx="8">
                  <c:v>NZDJPY</c:v>
                </c:pt>
                <c:pt idx="9">
                  <c:v>EURJPY</c:v>
                </c:pt>
                <c:pt idx="10">
                  <c:v>US30</c:v>
                </c:pt>
                <c:pt idx="11">
                  <c:v>CHFJPY</c:v>
                </c:pt>
              </c:strCache>
            </c:strRef>
          </c:cat>
          <c:val>
            <c:numRef>
              <c:f>Sheet1!$S$9:$S$20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-1</c:v>
                </c:pt>
                <c:pt idx="7">
                  <c:v>2</c:v>
                </c:pt>
                <c:pt idx="8">
                  <c:v>-1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7-4B4B-9B06-8DDCD60393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13333264"/>
        <c:axId val="1413345744"/>
      </c:barChart>
      <c:catAx>
        <c:axId val="141333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45744"/>
        <c:crosses val="autoZero"/>
        <c:auto val="1"/>
        <c:lblAlgn val="ctr"/>
        <c:lblOffset val="100"/>
        <c:noMultiLvlLbl val="0"/>
      </c:catAx>
      <c:valAx>
        <c:axId val="1413345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333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</xdr:row>
      <xdr:rowOff>112058</xdr:rowOff>
    </xdr:from>
    <xdr:to>
      <xdr:col>7</xdr:col>
      <xdr:colOff>930088</xdr:colOff>
      <xdr:row>14</xdr:row>
      <xdr:rowOff>22412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A41D7C-3E0D-07A8-3EA0-153A1732A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130968</xdr:colOff>
      <xdr:row>3</xdr:row>
      <xdr:rowOff>3571</xdr:rowOff>
    </xdr:from>
    <xdr:to>
      <xdr:col>15</xdr:col>
      <xdr:colOff>4548187</xdr:colOff>
      <xdr:row>14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F20696-A82F-8B8C-A639-C14B02F13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148827</xdr:colOff>
      <xdr:row>14</xdr:row>
      <xdr:rowOff>182166</xdr:rowOff>
    </xdr:from>
    <xdr:to>
      <xdr:col>15</xdr:col>
      <xdr:colOff>4536281</xdr:colOff>
      <xdr:row>24</xdr:row>
      <xdr:rowOff>11906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E65F63-A844-C4B9-30E2-3A8FE0BFC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3DEB-C22F-4A44-AFA4-61A1DDE6BE07}">
  <dimension ref="A1:S60"/>
  <sheetViews>
    <sheetView showGridLines="0" tabSelected="1" zoomScale="80" zoomScaleNormal="80" workbookViewId="0">
      <selection activeCell="W20" sqref="W20"/>
    </sheetView>
  </sheetViews>
  <sheetFormatPr defaultRowHeight="15" x14ac:dyDescent="0.25"/>
  <cols>
    <col min="1" max="1" width="1.42578125" customWidth="1"/>
    <col min="2" max="2" width="5.140625" style="1" customWidth="1"/>
    <col min="3" max="5" width="14.85546875" style="1" customWidth="1"/>
    <col min="6" max="8" width="14.85546875" style="6" customWidth="1"/>
    <col min="9" max="11" width="14.85546875" style="1" customWidth="1"/>
    <col min="12" max="12" width="14.85546875" style="6" customWidth="1"/>
    <col min="13" max="13" width="14.85546875" style="7" customWidth="1"/>
    <col min="14" max="14" width="14.85546875" style="8" customWidth="1"/>
    <col min="15" max="15" width="14.85546875" style="6" customWidth="1"/>
    <col min="16" max="16" width="69.85546875" style="1" customWidth="1"/>
    <col min="17" max="17" width="1.42578125" customWidth="1"/>
    <col min="18" max="18" width="9.140625" style="56"/>
    <col min="19" max="19" width="9.140625" style="56" customWidth="1"/>
  </cols>
  <sheetData>
    <row r="1" spans="1:19" ht="8.25" customHeight="1" x14ac:dyDescent="0.25">
      <c r="A1" s="4"/>
      <c r="B1" s="19" t="s">
        <v>33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4"/>
    </row>
    <row r="2" spans="1:19" ht="28.5" customHeight="1" x14ac:dyDescent="0.25">
      <c r="A2" s="4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4"/>
    </row>
    <row r="3" spans="1:19" ht="9" customHeight="1" x14ac:dyDescent="0.25">
      <c r="A3" s="4"/>
      <c r="B3"/>
      <c r="F3" s="1"/>
      <c r="G3" s="1"/>
      <c r="H3" s="1"/>
      <c r="L3" s="1"/>
      <c r="M3"/>
      <c r="N3"/>
      <c r="O3"/>
      <c r="P3"/>
      <c r="Q3" s="4"/>
    </row>
    <row r="4" spans="1:19" x14ac:dyDescent="0.25">
      <c r="A4" s="4"/>
      <c r="B4" s="26" t="s">
        <v>18</v>
      </c>
      <c r="C4" s="26"/>
      <c r="D4" s="28">
        <v>1034348.28</v>
      </c>
      <c r="E4" s="29"/>
      <c r="F4" s="1"/>
      <c r="G4" s="1"/>
      <c r="H4" s="1"/>
      <c r="I4" s="46" t="s">
        <v>29</v>
      </c>
      <c r="J4" s="47"/>
      <c r="K4" s="47"/>
      <c r="L4" s="48"/>
      <c r="M4"/>
      <c r="N4"/>
      <c r="O4"/>
      <c r="P4"/>
      <c r="Q4" s="4"/>
      <c r="R4" s="56" t="s">
        <v>27</v>
      </c>
      <c r="S4" s="56" t="s">
        <v>28</v>
      </c>
    </row>
    <row r="5" spans="1:19" x14ac:dyDescent="0.25">
      <c r="A5" s="4"/>
      <c r="B5" s="26"/>
      <c r="C5" s="26"/>
      <c r="D5" s="30"/>
      <c r="E5" s="31"/>
      <c r="F5" s="1"/>
      <c r="G5" s="1"/>
      <c r="H5" s="1"/>
      <c r="I5" s="49">
        <f>SUMIF(K27:K52,"L",L27:L52)</f>
        <v>-676718.74</v>
      </c>
      <c r="J5" s="50"/>
      <c r="K5" s="50"/>
      <c r="L5" s="51"/>
      <c r="M5"/>
      <c r="N5"/>
      <c r="O5"/>
      <c r="P5"/>
      <c r="Q5" s="4"/>
      <c r="R5" s="56" t="s">
        <v>23</v>
      </c>
      <c r="S5" s="56">
        <f>COUNTIF(K27:K1048576,"W")</f>
        <v>19</v>
      </c>
    </row>
    <row r="6" spans="1:19" x14ac:dyDescent="0.25">
      <c r="A6" s="4"/>
      <c r="B6" s="26"/>
      <c r="C6" s="26"/>
      <c r="D6" s="32"/>
      <c r="E6" s="33"/>
      <c r="F6" s="1"/>
      <c r="G6" s="1"/>
      <c r="H6" s="1"/>
      <c r="I6" s="49"/>
      <c r="J6" s="50"/>
      <c r="K6" s="50"/>
      <c r="L6" s="51"/>
      <c r="M6"/>
      <c r="N6"/>
      <c r="O6"/>
      <c r="P6"/>
      <c r="Q6" s="4"/>
      <c r="R6" s="56" t="s">
        <v>0</v>
      </c>
      <c r="S6" s="56">
        <f>COUNTIF(K27:K1048576,"L")</f>
        <v>11</v>
      </c>
    </row>
    <row r="7" spans="1:19" x14ac:dyDescent="0.25">
      <c r="A7" s="4"/>
      <c r="B7"/>
      <c r="F7" s="1"/>
      <c r="G7" s="1"/>
      <c r="H7" s="1"/>
      <c r="I7" s="49"/>
      <c r="J7" s="50"/>
      <c r="K7" s="50"/>
      <c r="L7" s="51"/>
      <c r="M7"/>
      <c r="N7"/>
      <c r="O7"/>
      <c r="P7"/>
      <c r="Q7" s="4"/>
    </row>
    <row r="8" spans="1:19" x14ac:dyDescent="0.25">
      <c r="A8" s="4"/>
      <c r="B8" s="27" t="s">
        <v>15</v>
      </c>
      <c r="C8" s="27"/>
      <c r="D8" s="27"/>
      <c r="E8" s="27"/>
      <c r="F8" s="1"/>
      <c r="G8" s="1"/>
      <c r="H8" s="1"/>
      <c r="I8" s="52"/>
      <c r="J8" s="53"/>
      <c r="K8" s="53"/>
      <c r="L8" s="54"/>
      <c r="M8"/>
      <c r="N8"/>
      <c r="O8"/>
      <c r="P8"/>
      <c r="Q8" s="4"/>
      <c r="R8" s="56" t="s">
        <v>4</v>
      </c>
      <c r="S8" s="56" t="s">
        <v>41</v>
      </c>
    </row>
    <row r="9" spans="1:19" x14ac:dyDescent="0.25">
      <c r="A9" s="4"/>
      <c r="B9" s="34">
        <v>0.05</v>
      </c>
      <c r="C9" s="35"/>
      <c r="D9" s="38">
        <f>D4*B9</f>
        <v>51717.414000000004</v>
      </c>
      <c r="E9" s="39"/>
      <c r="F9" s="1"/>
      <c r="G9" s="1"/>
      <c r="H9" s="1"/>
      <c r="L9" s="1"/>
      <c r="M9"/>
      <c r="N9"/>
      <c r="O9"/>
      <c r="P9"/>
      <c r="Q9" s="4"/>
      <c r="R9" s="56" t="str" cm="1">
        <f t="array" ref="R9:R21">_xlfn.UNIQUE(D27:D60)</f>
        <v>USTEC</v>
      </c>
      <c r="S9" s="56" cm="1">
        <f t="array" ref="S9:S21">SUMIF(D27:D52,R9:R21,R27:R52)</f>
        <v>1</v>
      </c>
    </row>
    <row r="10" spans="1:19" x14ac:dyDescent="0.25">
      <c r="A10" s="4"/>
      <c r="B10" s="36"/>
      <c r="C10" s="37"/>
      <c r="D10" s="40"/>
      <c r="E10" s="41"/>
      <c r="F10" s="1"/>
      <c r="G10" s="1"/>
      <c r="H10" s="1"/>
      <c r="I10" s="46" t="s">
        <v>30</v>
      </c>
      <c r="J10" s="47"/>
      <c r="K10" s="47"/>
      <c r="L10" s="48"/>
      <c r="M10"/>
      <c r="N10"/>
      <c r="O10"/>
      <c r="P10"/>
      <c r="Q10" s="4"/>
      <c r="R10" s="56" t="str">
        <v>JP225</v>
      </c>
      <c r="S10" s="56">
        <v>2</v>
      </c>
    </row>
    <row r="11" spans="1:19" x14ac:dyDescent="0.25">
      <c r="A11" s="4"/>
      <c r="B11"/>
      <c r="F11" s="1"/>
      <c r="G11" s="1"/>
      <c r="H11" s="1"/>
      <c r="I11" s="49">
        <f>SUMIF(K27:K52,"W",L27:L52)</f>
        <v>1590842.12</v>
      </c>
      <c r="J11" s="50"/>
      <c r="K11" s="50"/>
      <c r="L11" s="51"/>
      <c r="M11"/>
      <c r="N11"/>
      <c r="O11"/>
      <c r="P11"/>
      <c r="Q11" s="4"/>
      <c r="R11" s="56" t="str">
        <v>EURUSD</v>
      </c>
      <c r="S11" s="56">
        <v>0</v>
      </c>
    </row>
    <row r="12" spans="1:19" x14ac:dyDescent="0.25">
      <c r="A12" s="4"/>
      <c r="B12" s="44" t="s">
        <v>16</v>
      </c>
      <c r="C12" s="45"/>
      <c r="D12" s="42" t="s">
        <v>17</v>
      </c>
      <c r="E12" s="43"/>
      <c r="F12" s="1"/>
      <c r="G12" s="1"/>
      <c r="H12" s="1"/>
      <c r="I12" s="49"/>
      <c r="J12" s="50"/>
      <c r="K12" s="50"/>
      <c r="L12" s="51"/>
      <c r="M12"/>
      <c r="N12"/>
      <c r="O12"/>
      <c r="P12"/>
      <c r="Q12" s="4"/>
      <c r="R12" s="56" t="str">
        <v>DE30</v>
      </c>
      <c r="S12" s="56">
        <v>1</v>
      </c>
    </row>
    <row r="13" spans="1:19" x14ac:dyDescent="0.25">
      <c r="A13" s="4"/>
      <c r="B13" s="38">
        <f>I11+I5</f>
        <v>914123.38000000012</v>
      </c>
      <c r="C13" s="39"/>
      <c r="D13" s="38">
        <f>D4+B13</f>
        <v>1948471.6600000001</v>
      </c>
      <c r="E13" s="39"/>
      <c r="F13" s="1"/>
      <c r="G13" s="1"/>
      <c r="H13" s="1"/>
      <c r="I13" s="49"/>
      <c r="J13" s="50"/>
      <c r="K13" s="50"/>
      <c r="L13" s="51"/>
      <c r="M13"/>
      <c r="N13"/>
      <c r="O13"/>
      <c r="P13"/>
      <c r="Q13" s="4"/>
      <c r="R13" s="56" t="str">
        <v>XAUUSD</v>
      </c>
      <c r="S13" s="56">
        <v>0</v>
      </c>
    </row>
    <row r="14" spans="1:19" x14ac:dyDescent="0.25">
      <c r="A14" s="4"/>
      <c r="B14" s="40"/>
      <c r="C14" s="41"/>
      <c r="D14" s="40"/>
      <c r="E14" s="41"/>
      <c r="F14" s="1"/>
      <c r="G14" s="1"/>
      <c r="H14" s="1"/>
      <c r="I14" s="52"/>
      <c r="J14" s="53"/>
      <c r="K14" s="53"/>
      <c r="L14" s="54"/>
      <c r="M14"/>
      <c r="N14"/>
      <c r="O14"/>
      <c r="P14"/>
      <c r="Q14" s="4"/>
      <c r="R14" s="56" t="str">
        <v>GBPUSD</v>
      </c>
      <c r="S14" s="56">
        <v>0</v>
      </c>
    </row>
    <row r="15" spans="1:19" x14ac:dyDescent="0.25">
      <c r="A15" s="4"/>
      <c r="B15"/>
      <c r="F15" s="1"/>
      <c r="G15" s="1"/>
      <c r="H15" s="1"/>
      <c r="L15" s="1"/>
      <c r="M15"/>
      <c r="N15"/>
      <c r="O15"/>
      <c r="P15"/>
      <c r="Q15" s="4"/>
      <c r="R15" s="56" t="str">
        <v>USDJPY</v>
      </c>
      <c r="S15" s="56">
        <v>-1</v>
      </c>
    </row>
    <row r="16" spans="1:19" x14ac:dyDescent="0.25">
      <c r="A16" s="4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/>
      <c r="N16"/>
      <c r="O16"/>
      <c r="P16"/>
      <c r="Q16" s="4"/>
      <c r="R16" s="56" t="str">
        <v>NZDUSD</v>
      </c>
      <c r="S16" s="56">
        <v>2</v>
      </c>
    </row>
    <row r="17" spans="1:19" x14ac:dyDescent="0.25">
      <c r="A17" s="4"/>
      <c r="B17" s="4"/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/>
      <c r="N17"/>
      <c r="O17"/>
      <c r="P17"/>
      <c r="Q17" s="4"/>
      <c r="R17" s="56" t="str">
        <v>NZDJPY</v>
      </c>
      <c r="S17" s="56">
        <v>-1</v>
      </c>
    </row>
    <row r="18" spans="1:19" ht="24" customHeight="1" x14ac:dyDescent="0.25">
      <c r="A18" s="4"/>
      <c r="B18" s="4"/>
      <c r="C18" s="9" t="s">
        <v>1</v>
      </c>
      <c r="D18" s="9" t="s">
        <v>1</v>
      </c>
      <c r="E18" s="18">
        <f>O28-D4</f>
        <v>173694.95999999996</v>
      </c>
      <c r="F18" s="18">
        <f>O30-O28</f>
        <v>175552.47999999998</v>
      </c>
      <c r="G18" s="18">
        <f>O32-O30</f>
        <v>218026.32000000007</v>
      </c>
      <c r="H18" s="18">
        <f>O35-O32</f>
        <v>4165.6899999999441</v>
      </c>
      <c r="I18" s="9" t="s">
        <v>1</v>
      </c>
      <c r="J18" s="9" t="s">
        <v>1</v>
      </c>
      <c r="K18" s="18">
        <f>O45-O35</f>
        <v>155382.66999999969</v>
      </c>
      <c r="L18" s="18">
        <f>O52-O45</f>
        <v>187301.26000000024</v>
      </c>
      <c r="M18"/>
      <c r="N18"/>
      <c r="O18"/>
      <c r="P18"/>
      <c r="Q18" s="4"/>
      <c r="R18" s="56" t="str">
        <v>EURJPY</v>
      </c>
      <c r="S18" s="56">
        <v>1</v>
      </c>
    </row>
    <row r="19" spans="1:19" x14ac:dyDescent="0.25">
      <c r="A19" s="4"/>
      <c r="B19" s="4"/>
      <c r="C19" s="2">
        <v>11</v>
      </c>
      <c r="D19" s="2">
        <v>12</v>
      </c>
      <c r="E19" s="2">
        <v>13</v>
      </c>
      <c r="F19" s="2">
        <v>14</v>
      </c>
      <c r="G19" s="2">
        <v>15</v>
      </c>
      <c r="H19" s="2">
        <v>16</v>
      </c>
      <c r="I19" s="2">
        <v>17</v>
      </c>
      <c r="J19" s="2">
        <v>18</v>
      </c>
      <c r="K19" s="2">
        <v>19</v>
      </c>
      <c r="L19" s="2">
        <v>20</v>
      </c>
      <c r="M19"/>
      <c r="N19"/>
      <c r="O19"/>
      <c r="P19"/>
      <c r="Q19" s="4"/>
      <c r="R19" s="56" t="str">
        <v>US30</v>
      </c>
      <c r="S19" s="56">
        <v>1</v>
      </c>
    </row>
    <row r="20" spans="1:19" ht="24" customHeight="1" x14ac:dyDescent="0.25">
      <c r="A20" s="4"/>
      <c r="B20" s="4"/>
      <c r="C20" s="55">
        <f>O56-O52</f>
        <v>25286.300000000047</v>
      </c>
      <c r="D20" s="10"/>
      <c r="E20" s="10"/>
      <c r="F20" s="10"/>
      <c r="G20" s="10"/>
      <c r="H20" s="10"/>
      <c r="I20" s="10"/>
      <c r="J20" s="10"/>
      <c r="K20" s="10"/>
      <c r="L20" s="10"/>
      <c r="M20"/>
      <c r="N20"/>
      <c r="O20"/>
      <c r="P20"/>
      <c r="Q20" s="4"/>
      <c r="R20" s="56" t="str">
        <v>CHFJPY</v>
      </c>
      <c r="S20" s="56">
        <v>0</v>
      </c>
    </row>
    <row r="21" spans="1:19" x14ac:dyDescent="0.25">
      <c r="A21" s="4"/>
      <c r="B21" s="4"/>
      <c r="C21" s="2">
        <v>21</v>
      </c>
      <c r="D21" s="2">
        <v>22</v>
      </c>
      <c r="E21" s="2">
        <v>23</v>
      </c>
      <c r="F21" s="2">
        <v>24</v>
      </c>
      <c r="G21" s="2">
        <v>25</v>
      </c>
      <c r="H21" s="2">
        <v>26</v>
      </c>
      <c r="I21" s="2">
        <v>27</v>
      </c>
      <c r="J21" s="2">
        <v>28</v>
      </c>
      <c r="K21" s="2">
        <v>29</v>
      </c>
      <c r="L21" s="2">
        <v>30</v>
      </c>
      <c r="M21"/>
      <c r="N21"/>
      <c r="O21"/>
      <c r="P21"/>
      <c r="Q21" s="4"/>
      <c r="R21" s="56">
        <v>0</v>
      </c>
      <c r="S21" s="56">
        <v>0</v>
      </c>
    </row>
    <row r="22" spans="1:19" ht="24" customHeight="1" x14ac:dyDescent="0.25">
      <c r="A22" s="4"/>
      <c r="B22" s="4"/>
      <c r="C22" s="9"/>
      <c r="D22" s="9"/>
      <c r="E22" s="9"/>
      <c r="F22" s="9"/>
      <c r="G22" s="9"/>
      <c r="H22" s="9"/>
      <c r="I22" s="9"/>
      <c r="J22" s="9"/>
      <c r="K22" s="9"/>
      <c r="L22" s="9"/>
      <c r="M22"/>
      <c r="N22"/>
      <c r="O22"/>
      <c r="P22"/>
      <c r="Q22" s="4"/>
    </row>
    <row r="23" spans="1:19" x14ac:dyDescent="0.25">
      <c r="A23" s="4"/>
      <c r="B23" s="4"/>
      <c r="C23" s="2">
        <v>31</v>
      </c>
      <c r="D23" s="20" t="s">
        <v>54</v>
      </c>
      <c r="E23" s="21"/>
      <c r="F23" s="21"/>
      <c r="G23" s="21"/>
      <c r="H23" s="21"/>
      <c r="I23" s="21"/>
      <c r="J23" s="21"/>
      <c r="K23" s="21"/>
      <c r="L23" s="22"/>
      <c r="M23"/>
      <c r="N23"/>
      <c r="O23"/>
      <c r="P23"/>
      <c r="Q23" s="4"/>
    </row>
    <row r="24" spans="1:19" ht="24" customHeight="1" thickBot="1" x14ac:dyDescent="0.3">
      <c r="A24" s="4"/>
      <c r="B24" s="4"/>
      <c r="C24" s="9"/>
      <c r="D24" s="23"/>
      <c r="E24" s="24"/>
      <c r="F24" s="24"/>
      <c r="G24" s="24"/>
      <c r="H24" s="24"/>
      <c r="I24" s="24"/>
      <c r="J24" s="24"/>
      <c r="K24" s="24"/>
      <c r="L24" s="25"/>
      <c r="M24"/>
      <c r="N24"/>
      <c r="O24"/>
      <c r="P24"/>
      <c r="Q24" s="4"/>
    </row>
    <row r="25" spans="1:19" x14ac:dyDescent="0.25">
      <c r="A25" s="4"/>
      <c r="B25"/>
      <c r="F25" s="1"/>
      <c r="G25" s="1"/>
      <c r="H25" s="1"/>
      <c r="L25" s="1"/>
      <c r="M25"/>
      <c r="N25"/>
      <c r="O25"/>
      <c r="P25"/>
      <c r="Q25" s="4"/>
    </row>
    <row r="26" spans="1:19" ht="37.5" customHeight="1" x14ac:dyDescent="0.25">
      <c r="A26" s="4"/>
      <c r="B26" s="3" t="s">
        <v>2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21</v>
      </c>
      <c r="H26" s="3" t="s">
        <v>22</v>
      </c>
      <c r="I26" s="3" t="s">
        <v>7</v>
      </c>
      <c r="J26" s="3" t="s">
        <v>8</v>
      </c>
      <c r="K26" s="3" t="s">
        <v>9</v>
      </c>
      <c r="L26" s="3" t="s">
        <v>10</v>
      </c>
      <c r="M26" s="3" t="s">
        <v>13</v>
      </c>
      <c r="N26" s="3" t="s">
        <v>14</v>
      </c>
      <c r="O26" s="3" t="s">
        <v>11</v>
      </c>
      <c r="P26" s="3" t="s">
        <v>12</v>
      </c>
      <c r="Q26" s="4"/>
    </row>
    <row r="27" spans="1:19" ht="34.5" customHeight="1" x14ac:dyDescent="0.25">
      <c r="A27" s="4"/>
      <c r="B27" s="1">
        <v>1</v>
      </c>
      <c r="C27" s="1" t="s">
        <v>19</v>
      </c>
      <c r="D27" s="1" t="s">
        <v>20</v>
      </c>
      <c r="E27" s="16" t="s">
        <v>35</v>
      </c>
      <c r="F27" s="11">
        <v>24454.83</v>
      </c>
      <c r="G27" s="11">
        <v>24279.8</v>
      </c>
      <c r="H27" s="12">
        <v>24776</v>
      </c>
      <c r="I27" s="1">
        <v>0.03</v>
      </c>
      <c r="K27" s="16" t="s">
        <v>23</v>
      </c>
      <c r="L27" s="6">
        <v>162976.29</v>
      </c>
      <c r="M27" s="8">
        <f t="shared" ref="M27:M33" si="0">(L27/$D$4)</f>
        <v>0.15756422971960662</v>
      </c>
      <c r="N27" s="8">
        <f t="shared" ref="N27:N33" si="1">(O27-$D$4)/$D$4</f>
        <v>0.15756422971960665</v>
      </c>
      <c r="O27" s="6">
        <f>D4+L27</f>
        <v>1197324.57</v>
      </c>
      <c r="P27" s="14" t="s">
        <v>26</v>
      </c>
      <c r="Q27" s="4"/>
      <c r="R27" s="56">
        <f>IF(K27="W",1,IF(K27="L",-1,0))</f>
        <v>1</v>
      </c>
    </row>
    <row r="28" spans="1:19" ht="34.5" customHeight="1" x14ac:dyDescent="0.25">
      <c r="A28" s="4"/>
      <c r="B28" s="1">
        <v>2</v>
      </c>
      <c r="C28" s="1" t="s">
        <v>19</v>
      </c>
      <c r="D28" s="1" t="s">
        <v>24</v>
      </c>
      <c r="E28" s="16" t="s">
        <v>35</v>
      </c>
      <c r="F28" s="11">
        <v>54254.8</v>
      </c>
      <c r="G28" s="11">
        <v>53567.199999999997</v>
      </c>
      <c r="H28" s="12">
        <v>56115.1</v>
      </c>
      <c r="I28" s="1">
        <v>1</v>
      </c>
      <c r="K28" s="16" t="s">
        <v>23</v>
      </c>
      <c r="L28" s="6">
        <v>10718.67</v>
      </c>
      <c r="M28" s="8">
        <f t="shared" si="0"/>
        <v>1.0362728113203804E-2</v>
      </c>
      <c r="N28" s="8">
        <f t="shared" si="1"/>
        <v>0.16792695783281039</v>
      </c>
      <c r="O28" s="6">
        <f t="shared" ref="O28:O33" si="2">O27+L28</f>
        <v>1208043.24</v>
      </c>
      <c r="P28" s="14" t="s">
        <v>25</v>
      </c>
      <c r="Q28" s="4"/>
      <c r="R28" s="56">
        <f t="shared" ref="R28:R60" si="3">IF(K28="W",1,IF(K28="L",-1,0))</f>
        <v>1</v>
      </c>
    </row>
    <row r="29" spans="1:19" ht="34.5" customHeight="1" x14ac:dyDescent="0.25">
      <c r="A29" s="4"/>
      <c r="B29" s="1">
        <v>3</v>
      </c>
      <c r="C29" s="1" t="s">
        <v>31</v>
      </c>
      <c r="D29" s="1" t="s">
        <v>24</v>
      </c>
      <c r="E29" s="16" t="s">
        <v>35</v>
      </c>
      <c r="F29" s="11">
        <v>54140</v>
      </c>
      <c r="G29" s="11">
        <v>53487</v>
      </c>
      <c r="H29" s="12">
        <v>55667.1</v>
      </c>
      <c r="I29" s="1">
        <v>1</v>
      </c>
      <c r="K29" s="16" t="s">
        <v>23</v>
      </c>
      <c r="L29" s="6">
        <v>117559.24</v>
      </c>
      <c r="M29" s="8">
        <f t="shared" si="0"/>
        <v>0.11365537341058855</v>
      </c>
      <c r="N29" s="8">
        <f t="shared" si="1"/>
        <v>0.28158233124339893</v>
      </c>
      <c r="O29" s="6">
        <f t="shared" si="2"/>
        <v>1325602.48</v>
      </c>
      <c r="P29" s="14" t="s">
        <v>32</v>
      </c>
      <c r="Q29" s="4"/>
      <c r="R29" s="56">
        <f t="shared" si="3"/>
        <v>1</v>
      </c>
    </row>
    <row r="30" spans="1:19" ht="34.5" customHeight="1" x14ac:dyDescent="0.25">
      <c r="A30" s="4"/>
      <c r="B30" s="1">
        <v>4</v>
      </c>
      <c r="C30" s="1" t="s">
        <v>31</v>
      </c>
      <c r="D30" s="1" t="s">
        <v>34</v>
      </c>
      <c r="E30" s="17" t="s">
        <v>36</v>
      </c>
      <c r="F30" s="11">
        <v>1.1627799999999999</v>
      </c>
      <c r="G30" s="11">
        <v>1.1654800000000001</v>
      </c>
      <c r="H30" s="12">
        <v>1.1585799999999999</v>
      </c>
      <c r="I30" s="1">
        <v>0.01</v>
      </c>
      <c r="K30" s="16" t="s">
        <v>23</v>
      </c>
      <c r="L30" s="6">
        <v>57993.24</v>
      </c>
      <c r="M30" s="8">
        <f t="shared" si="0"/>
        <v>5.6067420540400564E-2</v>
      </c>
      <c r="N30" s="8">
        <f t="shared" si="1"/>
        <v>0.33764975178379947</v>
      </c>
      <c r="O30" s="6">
        <f t="shared" si="2"/>
        <v>1383595.72</v>
      </c>
      <c r="P30" s="14" t="s">
        <v>37</v>
      </c>
      <c r="Q30" s="4"/>
      <c r="R30" s="56">
        <f t="shared" si="3"/>
        <v>1</v>
      </c>
    </row>
    <row r="31" spans="1:19" ht="34.5" customHeight="1" x14ac:dyDescent="0.25">
      <c r="A31" s="4"/>
      <c r="B31" s="1">
        <v>5</v>
      </c>
      <c r="C31" s="1" t="s">
        <v>38</v>
      </c>
      <c r="D31" s="1" t="s">
        <v>39</v>
      </c>
      <c r="E31" s="17" t="s">
        <v>36</v>
      </c>
      <c r="F31" s="11">
        <v>24273.5</v>
      </c>
      <c r="G31" s="11">
        <v>24425.3</v>
      </c>
      <c r="H31" s="12">
        <v>23691.200000000001</v>
      </c>
      <c r="I31" s="1">
        <v>0.02</v>
      </c>
      <c r="K31" s="16" t="s">
        <v>23</v>
      </c>
      <c r="L31" s="6">
        <v>92831.31</v>
      </c>
      <c r="M31" s="8">
        <f t="shared" si="0"/>
        <v>8.9748599959000266E-2</v>
      </c>
      <c r="N31" s="8">
        <f t="shared" si="1"/>
        <v>0.42739835174279983</v>
      </c>
      <c r="O31" s="6">
        <f t="shared" si="2"/>
        <v>1476427.03</v>
      </c>
      <c r="P31" s="14" t="s">
        <v>40</v>
      </c>
      <c r="Q31" s="4"/>
      <c r="R31" s="56">
        <f t="shared" si="3"/>
        <v>1</v>
      </c>
    </row>
    <row r="32" spans="1:19" ht="34.5" customHeight="1" x14ac:dyDescent="0.25">
      <c r="A32" s="4"/>
      <c r="B32" s="1">
        <v>5</v>
      </c>
      <c r="C32" s="1" t="s">
        <v>38</v>
      </c>
      <c r="D32" s="1" t="s">
        <v>42</v>
      </c>
      <c r="E32" s="16" t="s">
        <v>35</v>
      </c>
      <c r="F32" s="11">
        <v>5115.9669999999996</v>
      </c>
      <c r="G32" s="11">
        <v>5105.0420000000004</v>
      </c>
      <c r="H32" s="12">
        <v>5138.4040000000005</v>
      </c>
      <c r="I32" s="1">
        <v>0.01</v>
      </c>
      <c r="K32" s="16" t="s">
        <v>23</v>
      </c>
      <c r="L32" s="6">
        <v>125195.01</v>
      </c>
      <c r="M32" s="8">
        <f t="shared" si="0"/>
        <v>0.1210375774009118</v>
      </c>
      <c r="N32" s="8">
        <f t="shared" si="1"/>
        <v>0.54843592914371164</v>
      </c>
      <c r="O32" s="6">
        <f t="shared" si="2"/>
        <v>1601622.04</v>
      </c>
      <c r="P32" s="14" t="s">
        <v>43</v>
      </c>
      <c r="Q32" s="4"/>
      <c r="R32" s="56">
        <f t="shared" si="3"/>
        <v>1</v>
      </c>
    </row>
    <row r="33" spans="1:18" ht="34.5" customHeight="1" x14ac:dyDescent="0.25">
      <c r="A33" s="4"/>
      <c r="B33" s="1">
        <v>6</v>
      </c>
      <c r="C33" s="1" t="s">
        <v>44</v>
      </c>
      <c r="D33" s="1" t="s">
        <v>45</v>
      </c>
      <c r="E33" s="17" t="s">
        <v>36</v>
      </c>
      <c r="F33" s="11">
        <v>1.33612</v>
      </c>
      <c r="G33" s="11">
        <v>1.3371200000000001</v>
      </c>
      <c r="H33" s="12">
        <v>1.33412</v>
      </c>
      <c r="I33" s="1">
        <v>0.02</v>
      </c>
      <c r="K33" s="17" t="s">
        <v>0</v>
      </c>
      <c r="L33" s="6">
        <v>-33912.47</v>
      </c>
      <c r="M33" s="8">
        <f t="shared" si="0"/>
        <v>-3.2786316423323102E-2</v>
      </c>
      <c r="N33" s="8">
        <f t="shared" si="1"/>
        <v>0.51564961272038856</v>
      </c>
      <c r="O33" s="6">
        <f t="shared" si="2"/>
        <v>1567709.57</v>
      </c>
      <c r="P33" s="14" t="s">
        <v>46</v>
      </c>
      <c r="Q33" s="4"/>
      <c r="R33" s="56">
        <f t="shared" si="3"/>
        <v>-1</v>
      </c>
    </row>
    <row r="34" spans="1:18" ht="34.5" customHeight="1" x14ac:dyDescent="0.25">
      <c r="A34" s="4"/>
      <c r="B34" s="1">
        <v>7</v>
      </c>
      <c r="C34" s="1" t="s">
        <v>44</v>
      </c>
      <c r="D34" s="1" t="s">
        <v>47</v>
      </c>
      <c r="E34" s="17" t="s">
        <v>36</v>
      </c>
      <c r="F34" s="6">
        <v>157.874</v>
      </c>
      <c r="G34" s="6">
        <v>158.21899999999999</v>
      </c>
      <c r="H34" s="6">
        <v>156.74600000000001</v>
      </c>
      <c r="I34" s="1">
        <v>0.01</v>
      </c>
      <c r="K34" s="17" t="s">
        <v>0</v>
      </c>
      <c r="L34" s="6">
        <v>-1611.28</v>
      </c>
      <c r="M34" s="8">
        <f t="shared" ref="M34" si="4">(L34/$D$4)</f>
        <v>-1.5577731709477971E-3</v>
      </c>
      <c r="N34" s="8">
        <f t="shared" ref="N34" si="5">(O34-$D$4)/$D$4</f>
        <v>0.51409183954944071</v>
      </c>
      <c r="O34" s="6">
        <f t="shared" ref="O34" si="6">O33+L34</f>
        <v>1566098.29</v>
      </c>
      <c r="P34" s="14" t="s">
        <v>49</v>
      </c>
      <c r="Q34" s="4"/>
      <c r="R34" s="56">
        <f t="shared" si="3"/>
        <v>-1</v>
      </c>
    </row>
    <row r="35" spans="1:18" ht="34.5" customHeight="1" x14ac:dyDescent="0.25">
      <c r="A35" s="4"/>
      <c r="B35" s="1">
        <v>8</v>
      </c>
      <c r="C35" s="1" t="s">
        <v>44</v>
      </c>
      <c r="D35" s="1" t="s">
        <v>48</v>
      </c>
      <c r="E35" s="16" t="s">
        <v>35</v>
      </c>
      <c r="F35" s="6">
        <v>0.58753999999999995</v>
      </c>
      <c r="G35" s="6">
        <v>0.58455000000000001</v>
      </c>
      <c r="H35" s="6">
        <v>0.59447000000000005</v>
      </c>
      <c r="I35" s="1">
        <v>0.01</v>
      </c>
      <c r="K35" s="16" t="s">
        <v>23</v>
      </c>
      <c r="L35" s="6">
        <v>39689.440000000002</v>
      </c>
      <c r="M35" s="8">
        <f>(L35/$D$4)</f>
        <v>3.8371446801265044E-2</v>
      </c>
      <c r="N35" s="8">
        <f t="shared" ref="N35" si="7">(O35-$D$4)/$D$4</f>
        <v>0.55246328635070574</v>
      </c>
      <c r="O35" s="6">
        <f t="shared" ref="O35" si="8">O34+L35</f>
        <v>1605787.73</v>
      </c>
      <c r="P35" s="14" t="s">
        <v>49</v>
      </c>
      <c r="Q35" s="4"/>
      <c r="R35" s="56">
        <f t="shared" si="3"/>
        <v>1</v>
      </c>
    </row>
    <row r="36" spans="1:18" ht="34.5" customHeight="1" x14ac:dyDescent="0.25">
      <c r="A36" s="4"/>
      <c r="B36" s="1">
        <v>9</v>
      </c>
      <c r="C36" s="1" t="s">
        <v>50</v>
      </c>
      <c r="D36" s="1" t="s">
        <v>42</v>
      </c>
      <c r="E36" s="16" t="s">
        <v>35</v>
      </c>
      <c r="F36" s="6">
        <v>5056.6080000000002</v>
      </c>
      <c r="G36" s="6">
        <v>5040.2939999999999</v>
      </c>
      <c r="H36" s="6">
        <v>5175.2879999999996</v>
      </c>
      <c r="I36" s="1">
        <v>0.01</v>
      </c>
      <c r="K36" s="17" t="s">
        <v>0</v>
      </c>
      <c r="L36" s="6">
        <v>-276683.31</v>
      </c>
      <c r="M36" s="8">
        <f t="shared" ref="M36" si="9">(L36/$D$4)</f>
        <v>-0.26749530631984036</v>
      </c>
      <c r="N36" s="8">
        <f t="shared" ref="N36" si="10">(O36-$D$4)/$D$4</f>
        <v>0.28496798003086532</v>
      </c>
      <c r="O36" s="6">
        <f t="shared" ref="O36" si="11">O35+L36</f>
        <v>1329104.42</v>
      </c>
      <c r="P36" s="14" t="s">
        <v>52</v>
      </c>
      <c r="Q36" s="4"/>
      <c r="R36" s="56">
        <f t="shared" si="3"/>
        <v>-1</v>
      </c>
    </row>
    <row r="37" spans="1:18" ht="34.5" customHeight="1" x14ac:dyDescent="0.25">
      <c r="A37" s="4"/>
      <c r="B37" s="1">
        <v>10</v>
      </c>
      <c r="C37" s="1" t="s">
        <v>50</v>
      </c>
      <c r="D37" s="1" t="s">
        <v>42</v>
      </c>
      <c r="E37" s="16" t="s">
        <v>35</v>
      </c>
      <c r="F37" s="6">
        <v>5054.9260000000004</v>
      </c>
      <c r="G37" s="6">
        <v>5042.7889999999998</v>
      </c>
      <c r="H37" s="6">
        <v>5176.9570000000003</v>
      </c>
      <c r="I37" s="1">
        <v>0.01</v>
      </c>
      <c r="K37" s="16" t="s">
        <v>23</v>
      </c>
      <c r="L37" s="6">
        <v>492028.48</v>
      </c>
      <c r="M37" s="8">
        <f>(L37/$D$4)</f>
        <v>0.47568936838179882</v>
      </c>
      <c r="N37" s="8">
        <f t="shared" ref="N37" si="12">(O37-$D$4)/$D$4</f>
        <v>0.76065734841266408</v>
      </c>
      <c r="O37" s="6">
        <f t="shared" ref="O37" si="13">O36+L37</f>
        <v>1821132.9</v>
      </c>
      <c r="P37" s="14" t="s">
        <v>53</v>
      </c>
      <c r="Q37" s="4"/>
      <c r="R37" s="56">
        <f t="shared" si="3"/>
        <v>1</v>
      </c>
    </row>
    <row r="38" spans="1:18" ht="34.5" customHeight="1" x14ac:dyDescent="0.25">
      <c r="A38" s="4"/>
      <c r="B38" s="1">
        <v>11</v>
      </c>
      <c r="C38" s="1" t="s">
        <v>50</v>
      </c>
      <c r="D38" s="1" t="s">
        <v>48</v>
      </c>
      <c r="E38" s="16" t="s">
        <v>35</v>
      </c>
      <c r="F38" s="6">
        <v>0.58589000000000002</v>
      </c>
      <c r="G38" s="6">
        <v>0.58316999999999997</v>
      </c>
      <c r="H38" s="6">
        <v>0.59282000000000001</v>
      </c>
      <c r="I38" s="1">
        <v>0.01</v>
      </c>
      <c r="K38" s="16" t="s">
        <v>23</v>
      </c>
      <c r="L38" s="6">
        <v>6791.7</v>
      </c>
      <c r="M38" s="8">
        <f t="shared" ref="M38" si="14">(L38/$D$4)</f>
        <v>6.5661635750000951E-3</v>
      </c>
      <c r="N38" s="8">
        <f t="shared" ref="N38" si="15">(O38-$D$4)/$D$4</f>
        <v>0.76722351198766414</v>
      </c>
      <c r="O38" s="6">
        <f t="shared" ref="O38" si="16">O37+L38</f>
        <v>1827924.5999999999</v>
      </c>
      <c r="P38" s="14" t="s">
        <v>51</v>
      </c>
      <c r="Q38" s="4"/>
      <c r="R38" s="56">
        <f t="shared" si="3"/>
        <v>1</v>
      </c>
    </row>
    <row r="39" spans="1:18" ht="34.5" customHeight="1" x14ac:dyDescent="0.25">
      <c r="A39" s="4"/>
      <c r="B39" s="1">
        <v>12</v>
      </c>
      <c r="C39" s="1" t="s">
        <v>50</v>
      </c>
      <c r="D39" s="1" t="s">
        <v>42</v>
      </c>
      <c r="E39" s="16" t="s">
        <v>35</v>
      </c>
      <c r="F39" s="6">
        <v>5099.0919999999996</v>
      </c>
      <c r="G39" s="6">
        <v>5086.1530000000002</v>
      </c>
      <c r="H39" s="6">
        <v>5164.3819999999996</v>
      </c>
      <c r="I39" s="1">
        <v>0.01</v>
      </c>
      <c r="K39" s="16" t="s">
        <v>23</v>
      </c>
      <c r="L39" s="6">
        <v>26087.17</v>
      </c>
      <c r="M39" s="8">
        <f t="shared" ref="M39" si="17">(L39/$D$4)</f>
        <v>2.522087627969952E-2</v>
      </c>
      <c r="N39" s="8">
        <f t="shared" ref="N39" si="18">(O39-$D$4)/$D$4</f>
        <v>0.79244438826736363</v>
      </c>
      <c r="O39" s="6">
        <f t="shared" ref="O39" si="19">O38+L39</f>
        <v>1854011.7699999998</v>
      </c>
      <c r="P39" s="14" t="s">
        <v>57</v>
      </c>
      <c r="Q39" s="4"/>
      <c r="R39" s="56">
        <f t="shared" si="3"/>
        <v>1</v>
      </c>
    </row>
    <row r="40" spans="1:18" ht="34.5" customHeight="1" x14ac:dyDescent="0.25">
      <c r="A40" s="4"/>
      <c r="B40" s="1">
        <v>13</v>
      </c>
      <c r="C40" s="1" t="s">
        <v>50</v>
      </c>
      <c r="D40" s="1" t="s">
        <v>42</v>
      </c>
      <c r="E40" s="16" t="s">
        <v>35</v>
      </c>
      <c r="F40" s="6">
        <v>5127.1670000000004</v>
      </c>
      <c r="G40" s="6">
        <v>5119.9750000000004</v>
      </c>
      <c r="H40" s="6">
        <v>5138.0929999999998</v>
      </c>
      <c r="I40" s="1">
        <v>0.01</v>
      </c>
      <c r="K40" s="17" t="s">
        <v>0</v>
      </c>
      <c r="L40" s="6">
        <v>-122184</v>
      </c>
      <c r="M40" s="8">
        <f t="shared" ref="M40" si="20">(L40/$D$4)</f>
        <v>-0.11812655597977115</v>
      </c>
      <c r="N40" s="8">
        <f t="shared" ref="N40" si="21">(O40-$D$4)/$D$4</f>
        <v>0.67431783228759246</v>
      </c>
      <c r="O40" s="6">
        <f t="shared" ref="O40" si="22">O39+L40</f>
        <v>1731827.7699999998</v>
      </c>
      <c r="P40" s="14" t="s">
        <v>57</v>
      </c>
      <c r="Q40" s="4"/>
      <c r="R40" s="56">
        <f t="shared" si="3"/>
        <v>-1</v>
      </c>
    </row>
    <row r="41" spans="1:18" ht="34.5" customHeight="1" x14ac:dyDescent="0.25">
      <c r="A41" s="4"/>
      <c r="B41" s="1">
        <v>14</v>
      </c>
      <c r="C41" s="1" t="s">
        <v>50</v>
      </c>
      <c r="D41" s="1" t="s">
        <v>42</v>
      </c>
      <c r="E41" s="16" t="s">
        <v>35</v>
      </c>
      <c r="F41" s="6">
        <v>5120.7950000000001</v>
      </c>
      <c r="G41" s="6">
        <v>5113.0309999999999</v>
      </c>
      <c r="H41" s="6">
        <v>5165.3980000000001</v>
      </c>
      <c r="I41" s="1">
        <v>0.01</v>
      </c>
      <c r="K41" s="17" t="s">
        <v>0</v>
      </c>
      <c r="L41" s="6">
        <v>-103485.22</v>
      </c>
      <c r="M41" s="8">
        <f t="shared" ref="M41" si="23">(L41/$D$4)</f>
        <v>-0.10004871859988977</v>
      </c>
      <c r="N41" s="8">
        <f t="shared" ref="N41" si="24">(O41-$D$4)/$D$4</f>
        <v>0.57426911368770273</v>
      </c>
      <c r="O41" s="6">
        <f t="shared" ref="O41" si="25">O40+L41</f>
        <v>1628342.5499999998</v>
      </c>
      <c r="P41" s="14" t="s">
        <v>57</v>
      </c>
      <c r="Q41" s="4"/>
      <c r="R41" s="56">
        <f t="shared" si="3"/>
        <v>-1</v>
      </c>
    </row>
    <row r="42" spans="1:18" ht="34.5" customHeight="1" x14ac:dyDescent="0.25">
      <c r="A42" s="4"/>
      <c r="B42" s="1">
        <v>15</v>
      </c>
      <c r="C42" s="1" t="s">
        <v>50</v>
      </c>
      <c r="D42" s="1" t="s">
        <v>42</v>
      </c>
      <c r="E42" s="16" t="s">
        <v>35</v>
      </c>
      <c r="F42" s="6">
        <v>5116.2780000000002</v>
      </c>
      <c r="G42" s="6">
        <v>5112.7389999999996</v>
      </c>
      <c r="H42" s="6">
        <v>5138.7960000000003</v>
      </c>
      <c r="I42" s="1">
        <v>0.01</v>
      </c>
      <c r="K42" s="17" t="s">
        <v>0</v>
      </c>
      <c r="L42" s="6">
        <v>-60153.95</v>
      </c>
      <c r="M42" s="8">
        <f t="shared" ref="M42" si="26">(L42/$D$4)</f>
        <v>-5.8156378429903705E-2</v>
      </c>
      <c r="N42" s="8">
        <f t="shared" ref="N42" si="27">(O42-$D$4)/$D$4</f>
        <v>0.5161127352577991</v>
      </c>
      <c r="O42" s="6">
        <f t="shared" ref="O42" si="28">O41+L42</f>
        <v>1568188.5999999999</v>
      </c>
      <c r="P42" s="14" t="s">
        <v>57</v>
      </c>
      <c r="Q42" s="4"/>
      <c r="R42" s="56">
        <f t="shared" si="3"/>
        <v>-1</v>
      </c>
    </row>
    <row r="43" spans="1:18" ht="34.5" customHeight="1" x14ac:dyDescent="0.25">
      <c r="A43" s="4"/>
      <c r="B43" s="1">
        <v>16</v>
      </c>
      <c r="C43" s="1" t="s">
        <v>50</v>
      </c>
      <c r="D43" s="1" t="s">
        <v>55</v>
      </c>
      <c r="E43" s="17" t="s">
        <v>36</v>
      </c>
      <c r="F43" s="6">
        <v>93.29</v>
      </c>
      <c r="G43" s="6">
        <v>93.477999999999994</v>
      </c>
      <c r="H43" s="6">
        <v>92.989000000000004</v>
      </c>
      <c r="I43" s="1">
        <v>0.01</v>
      </c>
      <c r="K43" s="17" t="s">
        <v>0</v>
      </c>
      <c r="L43" s="6">
        <v>-20156.25</v>
      </c>
      <c r="M43" s="8">
        <f t="shared" ref="M43" si="29">(L43/$D$4)</f>
        <v>-1.9486908220120981E-2</v>
      </c>
      <c r="N43" s="8">
        <f t="shared" ref="N43" si="30">(O43-$D$4)/$D$4</f>
        <v>0.4966258270376781</v>
      </c>
      <c r="O43" s="6">
        <f t="shared" ref="O43" si="31">O42+L43</f>
        <v>1548032.3499999999</v>
      </c>
      <c r="P43" s="15" t="s">
        <v>58</v>
      </c>
      <c r="Q43" s="4"/>
      <c r="R43" s="56">
        <f t="shared" si="3"/>
        <v>-1</v>
      </c>
    </row>
    <row r="44" spans="1:18" ht="34.5" customHeight="1" x14ac:dyDescent="0.25">
      <c r="A44" s="4"/>
      <c r="B44" s="1">
        <v>17</v>
      </c>
      <c r="C44" s="1" t="s">
        <v>50</v>
      </c>
      <c r="D44" s="1" t="s">
        <v>42</v>
      </c>
      <c r="E44" s="16" t="s">
        <v>35</v>
      </c>
      <c r="F44" s="6">
        <v>5070.5590000000002</v>
      </c>
      <c r="G44" s="6">
        <v>5050.0600000000004</v>
      </c>
      <c r="H44" s="6">
        <v>5164.79</v>
      </c>
      <c r="I44" s="1">
        <v>0.01</v>
      </c>
      <c r="K44" s="16" t="s">
        <v>23</v>
      </c>
      <c r="L44" s="6">
        <v>211855.64</v>
      </c>
      <c r="M44" s="8">
        <f t="shared" ref="M44" si="32">(L44/$D$4)</f>
        <v>0.20482041116750346</v>
      </c>
      <c r="N44" s="8">
        <f t="shared" ref="N44" si="33">(O44-$D$4)/$D$4</f>
        <v>0.70144623820518148</v>
      </c>
      <c r="O44" s="6">
        <f t="shared" ref="O44" si="34">O43+L44</f>
        <v>1759887.9899999998</v>
      </c>
      <c r="P44" s="15" t="s">
        <v>59</v>
      </c>
      <c r="Q44" s="4"/>
      <c r="R44" s="56">
        <f t="shared" si="3"/>
        <v>1</v>
      </c>
    </row>
    <row r="45" spans="1:18" ht="34.5" customHeight="1" x14ac:dyDescent="0.25">
      <c r="A45" s="4"/>
      <c r="B45" s="1">
        <v>18</v>
      </c>
      <c r="C45" s="1" t="s">
        <v>50</v>
      </c>
      <c r="D45" s="1" t="s">
        <v>56</v>
      </c>
      <c r="E45" s="17" t="s">
        <v>36</v>
      </c>
      <c r="F45" s="6">
        <v>183.11699999999999</v>
      </c>
      <c r="G45" s="6">
        <v>183.42</v>
      </c>
      <c r="H45" s="6">
        <v>182.67099999999999</v>
      </c>
      <c r="I45" s="1">
        <v>0.01</v>
      </c>
      <c r="K45" s="16" t="s">
        <v>23</v>
      </c>
      <c r="L45" s="6">
        <v>1282.4100000000001</v>
      </c>
      <c r="M45" s="8">
        <f t="shared" ref="M45" si="35">(L45/$D$4)</f>
        <v>1.2398241721830871E-3</v>
      </c>
      <c r="N45" s="8">
        <f t="shared" ref="N45" si="36">(O45-$D$4)/$D$4</f>
        <v>0.70268606237736442</v>
      </c>
      <c r="O45" s="6">
        <f t="shared" ref="O45" si="37">O44+L45</f>
        <v>1761170.3999999997</v>
      </c>
      <c r="P45" s="15" t="s">
        <v>60</v>
      </c>
      <c r="Q45" s="4"/>
      <c r="R45" s="56">
        <f t="shared" si="3"/>
        <v>1</v>
      </c>
    </row>
    <row r="46" spans="1:18" ht="34.5" customHeight="1" x14ac:dyDescent="0.25">
      <c r="A46" s="4"/>
      <c r="B46" s="1">
        <v>19</v>
      </c>
      <c r="C46" s="1" t="s">
        <v>61</v>
      </c>
      <c r="D46" s="1" t="s">
        <v>39</v>
      </c>
      <c r="E46" s="17" t="s">
        <v>36</v>
      </c>
      <c r="F46" s="6">
        <v>23758.400000000001</v>
      </c>
      <c r="G46" s="6">
        <v>23971.9</v>
      </c>
      <c r="H46" s="6">
        <v>23101.5</v>
      </c>
      <c r="I46" s="1">
        <v>0.01</v>
      </c>
      <c r="K46" s="17" t="s">
        <v>0</v>
      </c>
      <c r="L46" s="6">
        <v>-7675.06</v>
      </c>
      <c r="M46" s="8">
        <f t="shared" ref="M46" si="38">(L46/$D$4)</f>
        <v>-7.4201892615899162E-3</v>
      </c>
      <c r="N46" s="8">
        <f t="shared" ref="N46" si="39">(O46-$D$4)/$D$4</f>
        <v>0.69526587311577448</v>
      </c>
      <c r="O46" s="6">
        <f t="shared" ref="O46" si="40">O45+L46</f>
        <v>1753495.3399999996</v>
      </c>
      <c r="P46" s="15" t="s">
        <v>62</v>
      </c>
      <c r="Q46" s="4"/>
      <c r="R46" s="56">
        <f t="shared" si="3"/>
        <v>-1</v>
      </c>
    </row>
    <row r="47" spans="1:18" ht="34.5" customHeight="1" x14ac:dyDescent="0.25">
      <c r="A47" s="4"/>
      <c r="B47" s="1">
        <v>20</v>
      </c>
      <c r="C47" s="1" t="s">
        <v>61</v>
      </c>
      <c r="D47" s="1" t="s">
        <v>42</v>
      </c>
      <c r="E47" s="17" t="s">
        <v>36</v>
      </c>
      <c r="F47" s="6">
        <v>5184.3490000000002</v>
      </c>
      <c r="G47" s="6">
        <v>5187.2110000000002</v>
      </c>
      <c r="H47" s="6">
        <v>5064.3729999999996</v>
      </c>
      <c r="I47" s="1">
        <v>0.01</v>
      </c>
      <c r="K47" s="17" t="s">
        <v>0</v>
      </c>
      <c r="L47" s="6">
        <v>-48322.73</v>
      </c>
      <c r="M47" s="8">
        <f t="shared" ref="M47" si="41">(L47/$D$4)</f>
        <v>-4.6718045492375161E-2</v>
      </c>
      <c r="N47" s="8">
        <f t="shared" ref="N47" si="42">(O47-$D$4)/$D$4</f>
        <v>0.64854782762339935</v>
      </c>
      <c r="O47" s="6">
        <f t="shared" ref="O47" si="43">O46+L47</f>
        <v>1705172.6099999996</v>
      </c>
      <c r="P47" s="15" t="s">
        <v>64</v>
      </c>
      <c r="Q47" s="4"/>
      <c r="R47" s="56">
        <f t="shared" si="3"/>
        <v>-1</v>
      </c>
    </row>
    <row r="48" spans="1:18" ht="34.5" customHeight="1" x14ac:dyDescent="0.25">
      <c r="A48" s="4"/>
      <c r="B48" s="1">
        <v>21</v>
      </c>
      <c r="C48" s="1" t="s">
        <v>61</v>
      </c>
      <c r="D48" s="1" t="s">
        <v>39</v>
      </c>
      <c r="E48" s="17" t="s">
        <v>36</v>
      </c>
      <c r="F48" s="6">
        <v>23966.1</v>
      </c>
      <c r="G48" s="6">
        <v>24138.3</v>
      </c>
      <c r="H48" s="6">
        <v>23695.7</v>
      </c>
      <c r="I48" s="1">
        <v>0.01</v>
      </c>
      <c r="K48" s="16" t="s">
        <v>23</v>
      </c>
      <c r="L48" s="6">
        <v>0</v>
      </c>
      <c r="M48" s="8">
        <f t="shared" ref="M48" si="44">(L48/$D$4)</f>
        <v>0</v>
      </c>
      <c r="N48" s="8">
        <f t="shared" ref="N48" si="45">(O48-$D$4)/$D$4</f>
        <v>0.64854782762339935</v>
      </c>
      <c r="O48" s="6">
        <f t="shared" ref="O48" si="46">O47+L48</f>
        <v>1705172.6099999996</v>
      </c>
      <c r="P48" s="15" t="s">
        <v>65</v>
      </c>
      <c r="Q48" s="4"/>
      <c r="R48" s="56">
        <f t="shared" si="3"/>
        <v>1</v>
      </c>
    </row>
    <row r="49" spans="1:18" ht="34.5" customHeight="1" x14ac:dyDescent="0.25">
      <c r="A49" s="4"/>
      <c r="B49" s="1">
        <v>22</v>
      </c>
      <c r="C49" s="1" t="s">
        <v>61</v>
      </c>
      <c r="D49" s="1" t="s">
        <v>42</v>
      </c>
      <c r="E49" s="16" t="s">
        <v>35</v>
      </c>
      <c r="F49" s="6">
        <v>5197.3789999999999</v>
      </c>
      <c r="G49" s="6">
        <v>5188.3130000000001</v>
      </c>
      <c r="H49" s="6">
        <v>5209.7610000000004</v>
      </c>
      <c r="I49" s="1">
        <v>0.01</v>
      </c>
      <c r="K49" s="16" t="s">
        <v>23</v>
      </c>
      <c r="L49" s="6">
        <v>208313.32</v>
      </c>
      <c r="M49" s="8">
        <f t="shared" ref="M49" si="47">(L49/$D$4)</f>
        <v>0.20139572330511343</v>
      </c>
      <c r="N49" s="8">
        <f t="shared" ref="N49" si="48">(O49-$D$4)/$D$4</f>
        <v>0.84994355092851281</v>
      </c>
      <c r="O49" s="6">
        <f t="shared" ref="O49" si="49">O48+L49</f>
        <v>1913485.9299999997</v>
      </c>
      <c r="P49" s="15" t="s">
        <v>66</v>
      </c>
      <c r="Q49" s="4"/>
      <c r="R49" s="56">
        <f t="shared" si="3"/>
        <v>1</v>
      </c>
    </row>
    <row r="50" spans="1:18" ht="34.5" customHeight="1" x14ac:dyDescent="0.25">
      <c r="A50" s="4"/>
      <c r="B50" s="1">
        <v>22</v>
      </c>
      <c r="C50" s="1" t="s">
        <v>61</v>
      </c>
      <c r="D50" s="1" t="s">
        <v>63</v>
      </c>
      <c r="E50" s="16" t="s">
        <v>35</v>
      </c>
      <c r="F50" s="6">
        <v>47542.2</v>
      </c>
      <c r="G50" s="6">
        <v>47462</v>
      </c>
      <c r="H50" s="6">
        <v>47723.7</v>
      </c>
      <c r="I50" s="1">
        <v>0.01</v>
      </c>
      <c r="K50" s="16" t="s">
        <v>23</v>
      </c>
      <c r="L50" s="6">
        <v>30621.360000000001</v>
      </c>
      <c r="M50" s="8">
        <f t="shared" ref="M50" si="50">(L50/$D$4)</f>
        <v>2.960449646612261E-2</v>
      </c>
      <c r="N50" s="8">
        <f t="shared" ref="N50" si="51">(O50-$D$4)/$D$4</f>
        <v>0.87954804739463555</v>
      </c>
      <c r="O50" s="6">
        <f t="shared" ref="O50" si="52">O49+L50</f>
        <v>1944107.2899999998</v>
      </c>
      <c r="P50" s="15" t="s">
        <v>67</v>
      </c>
      <c r="Q50" s="4"/>
      <c r="R50" s="56">
        <f t="shared" si="3"/>
        <v>1</v>
      </c>
    </row>
    <row r="51" spans="1:18" ht="34.5" customHeight="1" x14ac:dyDescent="0.25">
      <c r="A51" s="4"/>
      <c r="B51" s="1">
        <v>23</v>
      </c>
      <c r="C51" s="1" t="s">
        <v>61</v>
      </c>
      <c r="D51" s="1" t="s">
        <v>45</v>
      </c>
      <c r="E51" s="17" t="s">
        <v>36</v>
      </c>
      <c r="F51" s="6">
        <v>1.3462700000000001</v>
      </c>
      <c r="G51" s="6">
        <v>1.3469899999999999</v>
      </c>
      <c r="H51" s="6">
        <v>1.34135</v>
      </c>
      <c r="I51" s="1">
        <v>0.01</v>
      </c>
      <c r="K51" s="16" t="s">
        <v>23</v>
      </c>
      <c r="L51" s="6">
        <v>6898.84</v>
      </c>
      <c r="M51" s="8">
        <f t="shared" ref="M51" si="53">(L51/$D$4)</f>
        <v>6.6697457069295847E-3</v>
      </c>
      <c r="N51" s="8">
        <f t="shared" ref="N51" si="54">(O51-$D$4)/$D$4</f>
        <v>0.88621779310156523</v>
      </c>
      <c r="O51" s="6">
        <f t="shared" ref="O51" si="55">O50+L51</f>
        <v>1951006.13</v>
      </c>
      <c r="P51" s="15" t="s">
        <v>69</v>
      </c>
      <c r="Q51" s="4"/>
      <c r="R51" s="56">
        <f t="shared" si="3"/>
        <v>1</v>
      </c>
    </row>
    <row r="52" spans="1:18" ht="34.5" customHeight="1" x14ac:dyDescent="0.25">
      <c r="A52" s="4"/>
      <c r="B52" s="1">
        <v>24</v>
      </c>
      <c r="C52" s="1" t="s">
        <v>61</v>
      </c>
      <c r="D52" s="1" t="s">
        <v>34</v>
      </c>
      <c r="E52" s="17" t="s">
        <v>36</v>
      </c>
      <c r="F52" s="6">
        <v>1.16411</v>
      </c>
      <c r="G52" s="6">
        <v>1.1653199999999999</v>
      </c>
      <c r="H52" s="6">
        <v>1.1607099999999999</v>
      </c>
      <c r="I52" s="1">
        <v>0.01</v>
      </c>
      <c r="K52" s="17" t="s">
        <v>0</v>
      </c>
      <c r="L52" s="6">
        <v>-2534.4699999999998</v>
      </c>
      <c r="M52" s="8">
        <f t="shared" ref="M52:M53" si="56">(L52/$D$4)</f>
        <v>-2.4503061966710087E-3</v>
      </c>
      <c r="N52" s="8">
        <f t="shared" ref="N52" si="57">(O52-$D$4)/$D$4</f>
        <v>0.88376748690489426</v>
      </c>
      <c r="O52" s="6">
        <f t="shared" ref="O52" si="58">O51+L52</f>
        <v>1948471.66</v>
      </c>
      <c r="P52" s="15" t="s">
        <v>68</v>
      </c>
      <c r="Q52" s="4"/>
      <c r="R52" s="56">
        <f t="shared" si="3"/>
        <v>-1</v>
      </c>
    </row>
    <row r="53" spans="1:18" ht="34.5" customHeight="1" x14ac:dyDescent="0.25">
      <c r="A53" s="4"/>
      <c r="B53" s="1">
        <v>25</v>
      </c>
      <c r="C53" s="1" t="s">
        <v>70</v>
      </c>
      <c r="D53" s="1" t="s">
        <v>71</v>
      </c>
      <c r="E53" s="17" t="s">
        <v>36</v>
      </c>
      <c r="F53" s="6">
        <v>203.40700000000001</v>
      </c>
      <c r="G53" s="6">
        <v>204.02500000000001</v>
      </c>
      <c r="H53" s="6">
        <v>202.649</v>
      </c>
      <c r="I53" s="1">
        <v>0.01</v>
      </c>
      <c r="K53" s="17" t="s">
        <v>0</v>
      </c>
      <c r="L53" s="6">
        <v>-65978.039999999994</v>
      </c>
      <c r="M53" s="8">
        <f t="shared" ref="M53:M54" si="59">(L53/$D$4)</f>
        <v>-6.3787064063179952E-2</v>
      </c>
      <c r="N53" s="8">
        <f t="shared" ref="N53" si="60">(O53-$D$4)/$D$4</f>
        <v>0.81998042284171424</v>
      </c>
      <c r="O53" s="6">
        <f t="shared" ref="O53" si="61">O52+L53</f>
        <v>1882493.6199999999</v>
      </c>
      <c r="P53" s="15" t="s">
        <v>72</v>
      </c>
      <c r="Q53" s="4"/>
      <c r="R53" s="56">
        <f t="shared" si="3"/>
        <v>-1</v>
      </c>
    </row>
    <row r="54" spans="1:18" ht="34.5" customHeight="1" x14ac:dyDescent="0.25">
      <c r="A54" s="4"/>
      <c r="B54" s="1">
        <v>26</v>
      </c>
      <c r="C54" s="1" t="s">
        <v>70</v>
      </c>
      <c r="D54" s="1" t="s">
        <v>42</v>
      </c>
      <c r="E54" s="16" t="s">
        <v>35</v>
      </c>
      <c r="F54" s="6">
        <v>5187.1760000000004</v>
      </c>
      <c r="G54" s="6">
        <v>5179.2330000000002</v>
      </c>
      <c r="H54" s="6">
        <v>5199.33</v>
      </c>
      <c r="I54" s="1">
        <v>0.01</v>
      </c>
      <c r="K54" s="16" t="s">
        <v>23</v>
      </c>
      <c r="L54" s="6">
        <v>21560.76</v>
      </c>
      <c r="M54" s="8">
        <f t="shared" ref="M54:M55" si="62">(L54/$D$4)</f>
        <v>2.0844777737726791E-2</v>
      </c>
      <c r="N54" s="8">
        <f t="shared" ref="N54" si="63">(O54-$D$4)/$D$4</f>
        <v>0.84082520057944099</v>
      </c>
      <c r="O54" s="6">
        <f t="shared" ref="O54" si="64">O53+L54</f>
        <v>1904054.38</v>
      </c>
      <c r="P54" s="15" t="s">
        <v>73</v>
      </c>
      <c r="Q54" s="4"/>
      <c r="R54" s="56">
        <f t="shared" si="3"/>
        <v>1</v>
      </c>
    </row>
    <row r="55" spans="1:18" ht="34.5" customHeight="1" x14ac:dyDescent="0.25">
      <c r="A55" s="4"/>
      <c r="B55" s="1">
        <v>27</v>
      </c>
      <c r="C55" s="1" t="s">
        <v>70</v>
      </c>
      <c r="D55" s="1" t="s">
        <v>42</v>
      </c>
      <c r="E55" s="17" t="s">
        <v>36</v>
      </c>
      <c r="F55" s="6">
        <v>5178.777</v>
      </c>
      <c r="G55" s="6">
        <v>5182.3459999999995</v>
      </c>
      <c r="H55" s="6">
        <v>5172.5069999999996</v>
      </c>
      <c r="I55" s="1">
        <v>0.01</v>
      </c>
      <c r="K55" s="16" t="s">
        <v>23</v>
      </c>
      <c r="L55" s="6">
        <v>51225.06</v>
      </c>
      <c r="M55" s="8">
        <f t="shared" ref="M55:M56" si="65">(L55/$D$4)</f>
        <v>4.9523995921373791E-2</v>
      </c>
      <c r="N55" s="8">
        <f t="shared" ref="N55" si="66">(O55-$D$4)/$D$4</f>
        <v>0.8903491965008149</v>
      </c>
      <c r="O55" s="6">
        <f t="shared" ref="O55" si="67">O54+L55</f>
        <v>1955279.44</v>
      </c>
      <c r="P55" s="15" t="s">
        <v>73</v>
      </c>
      <c r="Q55" s="4"/>
      <c r="R55" s="56">
        <f t="shared" si="3"/>
        <v>1</v>
      </c>
    </row>
    <row r="56" spans="1:18" ht="34.5" customHeight="1" x14ac:dyDescent="0.25">
      <c r="A56" s="4"/>
      <c r="B56" s="1">
        <v>28</v>
      </c>
      <c r="C56" s="1" t="s">
        <v>70</v>
      </c>
      <c r="D56" s="1" t="s">
        <v>71</v>
      </c>
      <c r="E56" s="17" t="s">
        <v>36</v>
      </c>
      <c r="F56" s="6">
        <v>203.58099999999999</v>
      </c>
      <c r="G56" s="6">
        <v>203.88900000000001</v>
      </c>
      <c r="H56" s="6">
        <v>202.626</v>
      </c>
      <c r="I56" s="1">
        <v>0.01</v>
      </c>
      <c r="K56" s="16" t="s">
        <v>23</v>
      </c>
      <c r="L56" s="6">
        <v>18478.52</v>
      </c>
      <c r="M56" s="8">
        <f t="shared" ref="M56" si="68">(L56/$D$4)</f>
        <v>1.7864891697794479E-2</v>
      </c>
      <c r="N56" s="8">
        <f t="shared" ref="N56" si="69">(O56-$D$4)/$D$4</f>
        <v>0.90821408819860938</v>
      </c>
      <c r="O56" s="6">
        <f t="shared" ref="O56" si="70">O55+L56</f>
        <v>1973757.96</v>
      </c>
      <c r="P56" s="15" t="s">
        <v>74</v>
      </c>
      <c r="Q56" s="4"/>
      <c r="R56" s="56">
        <f t="shared" si="3"/>
        <v>1</v>
      </c>
    </row>
    <row r="57" spans="1:18" ht="34.5" customHeight="1" x14ac:dyDescent="0.25">
      <c r="A57" s="4"/>
      <c r="Q57" s="4"/>
      <c r="R57" s="56">
        <f t="shared" si="3"/>
        <v>0</v>
      </c>
    </row>
    <row r="58" spans="1:18" ht="34.5" customHeight="1" x14ac:dyDescent="0.25">
      <c r="A58" s="4"/>
      <c r="Q58" s="4"/>
      <c r="R58" s="56">
        <f t="shared" si="3"/>
        <v>0</v>
      </c>
    </row>
    <row r="59" spans="1:18" ht="34.5" customHeight="1" x14ac:dyDescent="0.25">
      <c r="A59" s="4"/>
      <c r="Q59" s="4"/>
      <c r="R59" s="56">
        <f t="shared" si="3"/>
        <v>0</v>
      </c>
    </row>
    <row r="60" spans="1:18" ht="34.5" customHeight="1" x14ac:dyDescent="0.25">
      <c r="A60" s="4"/>
      <c r="Q60" s="4"/>
      <c r="R60" s="56">
        <f t="shared" si="3"/>
        <v>0</v>
      </c>
    </row>
  </sheetData>
  <mergeCells count="15">
    <mergeCell ref="B1:P2"/>
    <mergeCell ref="D23:L24"/>
    <mergeCell ref="B4:C6"/>
    <mergeCell ref="B8:E8"/>
    <mergeCell ref="D4:E6"/>
    <mergeCell ref="B9:C10"/>
    <mergeCell ref="D9:E10"/>
    <mergeCell ref="B13:C14"/>
    <mergeCell ref="D13:E14"/>
    <mergeCell ref="D12:E12"/>
    <mergeCell ref="B12:C12"/>
    <mergeCell ref="I4:L4"/>
    <mergeCell ref="I5:L8"/>
    <mergeCell ref="I11:L14"/>
    <mergeCell ref="I10:L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9913-6C96-4A17-8856-614754E00DE5}">
  <dimension ref="K11"/>
  <sheetViews>
    <sheetView workbookViewId="0">
      <selection activeCell="K11" sqref="K11"/>
    </sheetView>
  </sheetViews>
  <sheetFormatPr defaultRowHeight="15" x14ac:dyDescent="0.25"/>
  <cols>
    <col min="11" max="11" width="11.5703125" bestFit="1" customWidth="1"/>
  </cols>
  <sheetData>
    <row r="11" spans="11:11" x14ac:dyDescent="0.25">
      <c r="K11" s="13">
        <f>291254.2+276019.7-33912.47+38078.16+215345.17</f>
        <v>786784.76000000013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PT. Gudang Garam Tbk.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Devian Wahyu Setiyawan</dc:creator>
  <cp:lastModifiedBy>Devian Wahyu Setiyawan</cp:lastModifiedBy>
  <dcterms:created xsi:type="dcterms:W3CDTF">2026-03-04T01:22:21Z</dcterms:created>
  <dcterms:modified xsi:type="dcterms:W3CDTF">2026-03-12T01:16:49Z</dcterms:modified>
</cp:coreProperties>
</file>